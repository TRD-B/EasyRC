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 Böhm\Documents\EasyRC\"/>
    </mc:Choice>
  </mc:AlternateContent>
  <xr:revisionPtr revIDLastSave="0" documentId="13_ncr:1_{A24514E2-69A6-4113-8CC3-05AF1AFF35C9}" xr6:coauthVersionLast="47" xr6:coauthVersionMax="47" xr10:uidLastSave="{00000000-0000-0000-0000-000000000000}"/>
  <bookViews>
    <workbookView xWindow="-105" yWindow="0" windowWidth="26010" windowHeight="20985" xr2:uid="{7995BD43-5148-47BB-80E2-07484E8B28AF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I34" i="2"/>
  <c r="I35" i="2"/>
  <c r="I36" i="2"/>
  <c r="G33" i="2"/>
  <c r="H33" i="2" s="1"/>
  <c r="G34" i="2"/>
  <c r="H34" i="2" s="1"/>
  <c r="G35" i="2"/>
  <c r="H35" i="2" s="1"/>
  <c r="G36" i="2"/>
  <c r="H36" i="2" s="1"/>
  <c r="G32" i="2"/>
  <c r="H32" i="2" s="1"/>
  <c r="I32" i="2"/>
  <c r="G31" i="2"/>
  <c r="H31" i="2" s="1"/>
  <c r="I31" i="2"/>
  <c r="G24" i="2"/>
  <c r="H24" i="2" s="1"/>
  <c r="I24" i="2"/>
  <c r="G29" i="2"/>
  <c r="H29" i="2" s="1"/>
  <c r="I29" i="2"/>
  <c r="G28" i="2"/>
  <c r="H28" i="2" s="1"/>
  <c r="I28" i="2"/>
  <c r="G27" i="2"/>
  <c r="H27" i="2" s="1"/>
  <c r="I27" i="2"/>
  <c r="G20" i="2"/>
  <c r="H20" i="2" s="1"/>
  <c r="I20" i="2"/>
  <c r="G53" i="2"/>
  <c r="H53" i="2" s="1"/>
  <c r="I53" i="2"/>
  <c r="G42" i="2"/>
  <c r="H42" i="2" s="1"/>
  <c r="I42" i="2"/>
  <c r="G16" i="2"/>
  <c r="H16" i="2" s="1"/>
  <c r="I16" i="2"/>
  <c r="G14" i="2"/>
  <c r="H14" i="2" s="1"/>
  <c r="I14" i="2"/>
  <c r="I15" i="2"/>
  <c r="G15" i="2"/>
  <c r="H15" i="2" s="1"/>
  <c r="G56" i="2"/>
  <c r="H56" i="2" s="1"/>
  <c r="I56" i="2"/>
  <c r="I57" i="2"/>
  <c r="G57" i="2"/>
  <c r="H57" i="2" s="1"/>
  <c r="I55" i="2"/>
  <c r="G55" i="2"/>
  <c r="H55" i="2" s="1"/>
  <c r="I54" i="2"/>
  <c r="G54" i="2"/>
  <c r="H54" i="2" s="1"/>
  <c r="I52" i="2"/>
  <c r="G52" i="2"/>
  <c r="H52" i="2" s="1"/>
  <c r="I51" i="2"/>
  <c r="G51" i="2"/>
  <c r="H51" i="2" s="1"/>
  <c r="I50" i="2"/>
  <c r="G50" i="2"/>
  <c r="H50" i="2" s="1"/>
  <c r="I49" i="2"/>
  <c r="G49" i="2"/>
  <c r="H49" i="2" s="1"/>
  <c r="I48" i="2"/>
  <c r="G48" i="2"/>
  <c r="H48" i="2" s="1"/>
  <c r="I47" i="2"/>
  <c r="G47" i="2"/>
  <c r="H47" i="2" s="1"/>
  <c r="I46" i="2"/>
  <c r="G46" i="2"/>
  <c r="H46" i="2" s="1"/>
  <c r="I37" i="2"/>
  <c r="G37" i="2"/>
  <c r="H37" i="2" s="1"/>
  <c r="I45" i="2"/>
  <c r="G45" i="2"/>
  <c r="H45" i="2" s="1"/>
  <c r="I44" i="2"/>
  <c r="G44" i="2"/>
  <c r="H44" i="2" s="1"/>
  <c r="I43" i="2"/>
  <c r="G43" i="2"/>
  <c r="H43" i="2" s="1"/>
  <c r="I30" i="2"/>
  <c r="G30" i="2"/>
  <c r="H30" i="2" s="1"/>
  <c r="I41" i="2"/>
  <c r="G41" i="2"/>
  <c r="H41" i="2" s="1"/>
  <c r="I40" i="2"/>
  <c r="G40" i="2"/>
  <c r="H40" i="2" s="1"/>
  <c r="I39" i="2"/>
  <c r="G39" i="2"/>
  <c r="H39" i="2" s="1"/>
  <c r="I38" i="2"/>
  <c r="G38" i="2"/>
  <c r="H38" i="2" s="1"/>
  <c r="I26" i="2"/>
  <c r="G26" i="2"/>
  <c r="H26" i="2" s="1"/>
  <c r="I25" i="2"/>
  <c r="G25" i="2"/>
  <c r="H25" i="2" s="1"/>
  <c r="I23" i="2"/>
  <c r="G23" i="2"/>
  <c r="H23" i="2" s="1"/>
  <c r="I22" i="2"/>
  <c r="G22" i="2"/>
  <c r="H22" i="2" s="1"/>
  <c r="I21" i="2"/>
  <c r="G21" i="2"/>
  <c r="H21" i="2" s="1"/>
  <c r="I19" i="2"/>
  <c r="G19" i="2"/>
  <c r="H19" i="2" s="1"/>
  <c r="I18" i="2"/>
  <c r="G18" i="2"/>
  <c r="H18" i="2" s="1"/>
  <c r="I17" i="2"/>
  <c r="G17" i="2"/>
  <c r="H17" i="2" s="1"/>
  <c r="I13" i="2"/>
  <c r="G13" i="2"/>
  <c r="H13" i="2" s="1"/>
  <c r="I12" i="2"/>
  <c r="G12" i="2"/>
  <c r="H12" i="2" s="1"/>
  <c r="I11" i="2"/>
  <c r="G11" i="2"/>
  <c r="H11" i="2" s="1"/>
  <c r="I10" i="2"/>
  <c r="G10" i="2"/>
  <c r="H10" i="2" s="1"/>
  <c r="I9" i="2"/>
  <c r="G9" i="2"/>
  <c r="H9" i="2" s="1"/>
  <c r="I8" i="2"/>
  <c r="G8" i="2"/>
  <c r="H8" i="2" s="1"/>
  <c r="I7" i="2"/>
  <c r="G7" i="2"/>
  <c r="H7" i="2" s="1"/>
  <c r="I6" i="2"/>
  <c r="G6" i="2"/>
  <c r="H6" i="2" s="1"/>
  <c r="I5" i="2"/>
  <c r="G5" i="2"/>
  <c r="H5" i="2" s="1"/>
  <c r="I4" i="2"/>
  <c r="G4" i="2"/>
  <c r="H4" i="2" s="1"/>
  <c r="I3" i="2"/>
  <c r="G3" i="2"/>
  <c r="H3" i="2" s="1"/>
  <c r="I2" i="2"/>
  <c r="G2" i="2"/>
  <c r="H2" i="2" s="1"/>
  <c r="H60" i="2" l="1"/>
  <c r="I60" i="2"/>
</calcChain>
</file>

<file path=xl/sharedStrings.xml><?xml version="1.0" encoding="utf-8"?>
<sst xmlns="http://schemas.openxmlformats.org/spreadsheetml/2006/main" count="181" uniqueCount="149">
  <si>
    <t>Component</t>
  </si>
  <si>
    <t>Description</t>
  </si>
  <si>
    <t>Costs per piece</t>
  </si>
  <si>
    <t>Total cost</t>
  </si>
  <si>
    <t>Link</t>
  </si>
  <si>
    <t>Motor</t>
  </si>
  <si>
    <t>https://www.amazon.de/dp/B07ZKKN226?</t>
  </si>
  <si>
    <t>Servo</t>
  </si>
  <si>
    <t>Brushed 370 with 1:10 gearbox</t>
  </si>
  <si>
    <t>MG90S metal gear micro servo</t>
  </si>
  <si>
    <t>https://funduinoshop.com/elektronische-module/elektromotoren-und-zubehoer/elektromotoren/servomotoren/mg90s-metallgetriebe-micro-servo</t>
  </si>
  <si>
    <t>Battery holder</t>
  </si>
  <si>
    <t>3x18650</t>
  </si>
  <si>
    <t>https://funduinoshop.com/werkstatt/stromversorgung/batteriefaecher-und-klemmen/batterriefach-fuer-3x-3-7v-18650-batterien-11-7v-mit-kabel</t>
  </si>
  <si>
    <t>https://funduinoshop.com/werkstatt/stromversorgung/batteriefaecher-und-klemmen/batteriefach-1x-18650-li-ionen-zelle</t>
  </si>
  <si>
    <t>1x18650</t>
  </si>
  <si>
    <t>Costs per unit</t>
  </si>
  <si>
    <t>Scaled price</t>
  </si>
  <si>
    <t>Lishen 18650 3.1 Ah</t>
  </si>
  <si>
    <t>Amount needed</t>
  </si>
  <si>
    <t>Pieces per unit</t>
  </si>
  <si>
    <t>Required units</t>
  </si>
  <si>
    <t>https://www.pollin.de/p/liion-akku-lishen-lr1865ss-3-6v-3-1ah-273545</t>
  </si>
  <si>
    <t>Battery</t>
  </si>
  <si>
    <t>Microcontroller</t>
  </si>
  <si>
    <t>Xiao ESP32-C3</t>
  </si>
  <si>
    <t>Marquardt 1801.1148</t>
  </si>
  <si>
    <t>https://www.reichelt.de/de/de/shop/produkt/schiebeschalter-miniatur_loetanschluss_2x_um_sw-19976</t>
  </si>
  <si>
    <t>https://www.reichelt.de/de/de/shop/produkt/wippschalter_ein_-_aus_1_polig_schwarz-257132</t>
  </si>
  <si>
    <t>TSR1-2450E</t>
  </si>
  <si>
    <t>Buzzer</t>
  </si>
  <si>
    <t>PB1220PE05Q</t>
  </si>
  <si>
    <t>https://www.reichelt.de/de/de/shop/produkt/ac-signalgeber_85db_2048_hz_5_v-360862?search=pb1220&amp;</t>
  </si>
  <si>
    <t>LED</t>
  </si>
  <si>
    <t>Pololu DRV8876 QFN</t>
  </si>
  <si>
    <t>MOSFET</t>
  </si>
  <si>
    <t>IRLML6344</t>
  </si>
  <si>
    <t>https://www.reichelt.de/de/de/shop/produkt/smd-vielschichtkondensator_g1206_-_22_f_10v-89742</t>
  </si>
  <si>
    <t>https://www.reichelt.de/de/de/shop/produkt/mosfet_n-ch_30v_5a_0_029r_sot-23-132147</t>
  </si>
  <si>
    <t>https://www.reichelt.de/de/de/shop/produkt/smd-kerko_0805_100_nf_50v_10_x7r_mlcc-346808</t>
  </si>
  <si>
    <t>https://www.reichelt.de/de/de/shop/produkt/smd-widerstand_0805_220_ohm_125_mw_1_-346599</t>
  </si>
  <si>
    <t>1kOhm 0805</t>
  </si>
  <si>
    <t>https://www.reichelt.de/de/de/shop/produkt/smd-widerstand_0805_1_kohm_125_mw_1_-346593</t>
  </si>
  <si>
    <t>https://www.reichelt.de/de/de/shop/produkt/smd-widerstand_0805_22_kohm_125_mw_1_-346600</t>
  </si>
  <si>
    <t>22kOhm 0805</t>
  </si>
  <si>
    <t>100kOhm 0805</t>
  </si>
  <si>
    <t>https://www.reichelt.de/de/de/shop/produkt/smd-widerstand_0805_100_kohm_125_mw_1_-346577</t>
  </si>
  <si>
    <t>https://www.pollin.de/p/rautronic-schaltlitze-liyv-0-25-mm2-25-m-schwarz-560118</t>
  </si>
  <si>
    <t>https://www.pollin.de/p/rautronic-schaltlitze-liyv-0-25-mm2-25-m-rot-560048</t>
  </si>
  <si>
    <t>https://www.amazon.de/Rillenkugellager-Carbonstahl-Pr%C3%A4zisionslager-Skateboards-Rollerblades/dp/B0F28Q2LCV/?th=1</t>
  </si>
  <si>
    <t>608ZZ 8x22x7</t>
  </si>
  <si>
    <t>https://www.amazon.de/QUARKZMAN-Rillenkugel-Bohrung-Karbonstahl-Abgeschirmt/dp/B0CL4XKFW7/?th=1</t>
  </si>
  <si>
    <t>605ZZ 5x14x5</t>
  </si>
  <si>
    <t>Joystick</t>
  </si>
  <si>
    <t>Filament</t>
  </si>
  <si>
    <t>https://www.reichelt.de/de/de/shop/produkt/entwicklerboards_-_dupont-crimp-set_610-teilig-279901</t>
  </si>
  <si>
    <t>https://www.prusa3d.com/product/prusament-petg-lipstick-red-1kg/</t>
  </si>
  <si>
    <t>https://www.prusa3d.com/product/prusament-petg-jet-black-1kg/</t>
  </si>
  <si>
    <t>https://shop.der-schraubenladen.de/DIN-912-ISO-4762-Zylinderschraube-Innensechskant-Edelstahl-A2/SW11250.70</t>
  </si>
  <si>
    <t>M3x8</t>
  </si>
  <si>
    <t>https://shop.der-schraubenladen.de/DIN-912-ISO-4762-Zylinderschraube-Innensechskant-Edelstahl-A2/SW11250.81</t>
  </si>
  <si>
    <t>M3x40</t>
  </si>
  <si>
    <t>M3</t>
  </si>
  <si>
    <t>https://shop.der-schraubenladen.de/DIN-934-ISO-4032-Sechskantmutter-Edelstahl-A2/SW11410.19</t>
  </si>
  <si>
    <t>https://shop.der-schraubenladen.de/DIN-912-ISO-4762-Zylinderschraube-Innensechskant-Edelstahl-A2/SW11250.72</t>
  </si>
  <si>
    <t>M3x12</t>
  </si>
  <si>
    <t>M3x16</t>
  </si>
  <si>
    <t>https://shop.der-schraubenladen.de/DIN-912-ISO-4762-Zylinderschraube-Innensechskant-Edelstahl-A2/SW11250.74</t>
  </si>
  <si>
    <t>M3x20</t>
  </si>
  <si>
    <t>https://shop.der-schraubenladen.de/DIN-912-ISO-4762-Zylinderschraube-Innensechskant-Edelstahl-A2/SW11250.76</t>
  </si>
  <si>
    <t>https://shop.der-schraubenladen.de/DIN-912-ISO-4762-Zylinderschraube-Innensechskant-Edelstahl-A2/SW11250.79</t>
  </si>
  <si>
    <t>M3x30</t>
  </si>
  <si>
    <t>PCB</t>
  </si>
  <si>
    <t>Total costs</t>
  </si>
  <si>
    <t>Scaled</t>
  </si>
  <si>
    <t>Prototype</t>
  </si>
  <si>
    <t>M3x10 countersunk</t>
  </si>
  <si>
    <t>M3x22</t>
  </si>
  <si>
    <t>https://shop.der-schraubenladen.de/DIN-912-ISO-4762-Zylinderschraube-Innensechskant-Edelstahl-A2/SW11250.77</t>
  </si>
  <si>
    <t>https://shop.der-schraubenladen.de/DIN-7991-ISO-10642-Senkschraube-Innensechskant-Edelstahl-A2/SW11501.23</t>
  </si>
  <si>
    <t>JLCPCB</t>
  </si>
  <si>
    <t>https://jlcpcb.com/</t>
  </si>
  <si>
    <t>https://www.reichelt.de/de/de/shop/produkt/led_5_mm_bedrahtet_kaltweiss_15000_mcd_25_-347932</t>
  </si>
  <si>
    <t>https://www.reichelt.de/de/de/shop/produkt/led_5_mm_bedrahtet_gelb_700_mcd_30_-347921</t>
  </si>
  <si>
    <t>https://www.reichelt.de/de/de/shop/produkt/led_5_mm_bedrahtet_rot_700_mcd_30_-347922</t>
  </si>
  <si>
    <t>https://www.reichelt.de/de/de/shop/produkt/led_5_mm_bedrahtet_gruen_2500_mcd_30_-347919</t>
  </si>
  <si>
    <t>ALPS PS4 Joystick</t>
  </si>
  <si>
    <t>https://www.retroretter.de/products/as_ps4_white_alps_10k?srsltid=AfmBOopoCrFl1mMws8QJwiGoyE-9Zy9QsMMX_bR88EE8k8mVLcOP8Wop</t>
  </si>
  <si>
    <t>6802ZZ 15x24x5</t>
  </si>
  <si>
    <t>M3x35</t>
  </si>
  <si>
    <t>https://shop.der-schraubenladen.de/DIN-912-ISO-4762-Zylinderschraube-Innensechskant-Edelstahl-A2/SW11250.80</t>
  </si>
  <si>
    <t>PTC, 1.5A</t>
  </si>
  <si>
    <t>https://www.reichelt.de/de/de/shop/produkt/ptc-sicherung_smd_1812_24v_1_5a_rueckstellend-279366</t>
  </si>
  <si>
    <t>https://www.reichelt.de/de/de/shop/produkt/elko_radial_100_uf_25_v_105_c_low_esr-200027</t>
  </si>
  <si>
    <t>CDIL SMD ZD 8.2</t>
  </si>
  <si>
    <t>https://www.reichelt.de/de/de/shop/produkt/zenerdiode_8_2_v_0_35_w_sot-23-18926</t>
  </si>
  <si>
    <t>10kOhm 0805</t>
  </si>
  <si>
    <t>33kOhm 0805</t>
  </si>
  <si>
    <t>https://www.reichelt.de/de/de/shop/produkt/smd-widerstand_0805_10_kohm_125_mw_1_-346579</t>
  </si>
  <si>
    <t>https://www.reichelt.de/de/de/shop/produkt/smd-widerstand_0805_33_kohm_125_mw_1_-346610</t>
  </si>
  <si>
    <t>470Ohm 0805</t>
  </si>
  <si>
    <t>https://www.reichelt.de/de/de/shop/produkt/smd-widerstand_0805_470_ohm_125_mw_1_-346619</t>
  </si>
  <si>
    <t>330Ohm 0805</t>
  </si>
  <si>
    <t>https://www.reichelt.de/de/de/shop/produkt/stiftleiste_rm_2_54mm_gewinkelt_1-reihig_10-polig-330991</t>
  </si>
  <si>
    <t>https://www.reichelt.de/de/de/shop/produkt/buchsenleisten_2_54_mm_1x07_gerade-119916</t>
  </si>
  <si>
    <t>2.54 mm Jumper</t>
  </si>
  <si>
    <t>https://www.reichelt.de/de/de/shop/produkt/kurzschlussbruecke_schwarz_rm_2_54-9017</t>
  </si>
  <si>
    <t>https://www.reichelt.de/de/de/shop/produkt/stiftleisten_2_54_mm_1x20_gerade-119888</t>
  </si>
  <si>
    <t>https://www.reichelt.de/de/de/shop/produkt/stiftleisten_2_54_mm_2x20_gerade-119900</t>
  </si>
  <si>
    <t>https://www.reichelt.de/de/de/shop/produkt/10pol_buchsenleiste_gerade_rm_2_54-6070</t>
  </si>
  <si>
    <t>https://www.reichelt.de/de/de/shop/produkt/dc_dc_converter_tsr_1e_1_a_7-36_5_0_vdc_sip-3-288648</t>
  </si>
  <si>
    <t>TPU, 82A</t>
  </si>
  <si>
    <t>https://www.3djake.de/recreus/filaflex-black</t>
  </si>
  <si>
    <t>https://www.motedis.com/de/Rillenkugellager-6802-2Z-15x24x5</t>
  </si>
  <si>
    <t>https://botland.de/motortreiber-module/21361-drv8876-qfn-einkanal-treiber-37-v-11-a-pololu-4037.html</t>
  </si>
  <si>
    <t>https://botland.de/wifi-und-bt-module-esp32/21859-seeed-xiao-esp32-c3-wlan-bluetooth-seeedstudio-113991054.html</t>
  </si>
  <si>
    <t>On/off switch</t>
  </si>
  <si>
    <t>Fuse</t>
  </si>
  <si>
    <t>DC-DC converter</t>
  </si>
  <si>
    <t>Capacitor</t>
  </si>
  <si>
    <t>Motor driver</t>
  </si>
  <si>
    <t>Zener diode</t>
  </si>
  <si>
    <t>Resistor</t>
  </si>
  <si>
    <t>Pin header</t>
  </si>
  <si>
    <t>Socket strip</t>
  </si>
  <si>
    <t>Jumper</t>
  </si>
  <si>
    <t>Crimp set</t>
  </si>
  <si>
    <t>Wire</t>
  </si>
  <si>
    <t>Ball bearing</t>
  </si>
  <si>
    <t>Screw</t>
  </si>
  <si>
    <t>Hex nut</t>
  </si>
  <si>
    <t>Miniature slide switch</t>
  </si>
  <si>
    <t>Electrolytic, 100µF 25V 6.3mm pitch 2.5mm</t>
  </si>
  <si>
    <t>5 mm, white</t>
  </si>
  <si>
    <t>5 mm, yellow</t>
  </si>
  <si>
    <t>5 mm, red</t>
  </si>
  <si>
    <t>5 mm, green</t>
  </si>
  <si>
    <t>ceramic, 22µF 10V 1206</t>
  </si>
  <si>
    <t>ceramic 100nF 50V 0805</t>
  </si>
  <si>
    <t>W+P 10-pin angled</t>
  </si>
  <si>
    <t>mpe 7-pin</t>
  </si>
  <si>
    <t>10-pin (5 mm height)</t>
  </si>
  <si>
    <t>mpe 2x20-pin</t>
  </si>
  <si>
    <t>mpe 1x20-pin</t>
  </si>
  <si>
    <t>Dupont 610 parts</t>
  </si>
  <si>
    <t>0.25 mm², black, 25m</t>
  </si>
  <si>
    <t>0.25 mm², red, 25m</t>
  </si>
  <si>
    <t>PETG, black</t>
  </si>
  <si>
    <t>PETG,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</si>
</sst>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 applyFont="1"/>
    <xf numFmtId="0" fontId="2" fillId="0" borderId="0" xfId="1"/>
    <xf numFmtId="0" fontId="1" fillId="0" borderId="0" xfId="0" applyFont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de/de/de/shop/produkt/smd-kerko_0805_100_nf_50v_10_x7r_mlcc-346808" TargetMode="External"/><Relationship Id="rId13" Type="http://schemas.openxmlformats.org/officeDocument/2006/relationships/hyperlink" Target="https://www.reichelt.de/de/de/shop/produkt/smd-vielschichtkondensator_g1206_-_22_f_10v-89742" TargetMode="External"/><Relationship Id="rId18" Type="http://schemas.openxmlformats.org/officeDocument/2006/relationships/hyperlink" Target="https://www.reichelt.de/de/de/shop/produkt/led_5_mm_bedrahtet_gelb_700_mcd_30_-347921" TargetMode="External"/><Relationship Id="rId3" Type="http://schemas.openxmlformats.org/officeDocument/2006/relationships/hyperlink" Target="https://www.reichelt.de/de/de/shop/produkt/elko_radial_100_uf_25_v_105_c_low_esr-200027" TargetMode="External"/><Relationship Id="rId21" Type="http://schemas.openxmlformats.org/officeDocument/2006/relationships/hyperlink" Target="https://funduinoshop.com/werkstatt/stromversorgung/batteriefaecher-und-klemmen/batterriefach-fuer-3x-3-7v-18650-batterien-11-7v-mit-kabel" TargetMode="External"/><Relationship Id="rId7" Type="http://schemas.openxmlformats.org/officeDocument/2006/relationships/hyperlink" Target="https://www.reichelt.de/de/de/shop/produkt/mosfet_n-ch_30v_5a_0_029r_sot-23-132147" TargetMode="External"/><Relationship Id="rId12" Type="http://schemas.openxmlformats.org/officeDocument/2006/relationships/hyperlink" Target="https://www.reichelt.de/de/de/shop/produkt/led_5_mm_bedrahtet_gruen_2500_mcd_30_-347919" TargetMode="External"/><Relationship Id="rId17" Type="http://schemas.openxmlformats.org/officeDocument/2006/relationships/hyperlink" Target="https://www.reichelt.de/de/de/shop/produkt/dc_dc_converter_tsr_1e_1_a_7-36_5_0_vdc_sip-3-288648" TargetMode="External"/><Relationship Id="rId2" Type="http://schemas.openxmlformats.org/officeDocument/2006/relationships/hyperlink" Target="https://www.amazon.de/dp/B07ZKKN226?" TargetMode="External"/><Relationship Id="rId16" Type="http://schemas.openxmlformats.org/officeDocument/2006/relationships/hyperlink" Target="https://www.reichelt.de/de/de/shop/produkt/led_5_mm_bedrahtet_kaltweiss_15000_mcd_25_-347932" TargetMode="External"/><Relationship Id="rId20" Type="http://schemas.openxmlformats.org/officeDocument/2006/relationships/hyperlink" Target="https://www.pollin.de/p/liion-akku-lishen-lr1865ss-3-6v-3-1ah-273545" TargetMode="External"/><Relationship Id="rId1" Type="http://schemas.openxmlformats.org/officeDocument/2006/relationships/hyperlink" Target="https://shop.der-schraubenladen.de/DIN-912-ISO-4762-Zylinderschraube-Innensechskant-Edelstahl-A2/SW11250.81" TargetMode="External"/><Relationship Id="rId6" Type="http://schemas.openxmlformats.org/officeDocument/2006/relationships/hyperlink" Target="https://www.reichelt.de/de/de/shop/produkt/ptc-sicherung_smd_1812_24v_1_5a_rueckstellend-279366" TargetMode="External"/><Relationship Id="rId11" Type="http://schemas.openxmlformats.org/officeDocument/2006/relationships/hyperlink" Target="https://www.reichelt.de/de/de/shop/produkt/ac-signalgeber_85db_2048_hz_5_v-360862?search=pb1220&amp;" TargetMode="External"/><Relationship Id="rId5" Type="http://schemas.openxmlformats.org/officeDocument/2006/relationships/hyperlink" Target="https://www.reichelt.de/de/de/shop/produkt/schiebeschalter-miniatur_loetanschluss_2x_um_sw-19976" TargetMode="External"/><Relationship Id="rId15" Type="http://schemas.openxmlformats.org/officeDocument/2006/relationships/hyperlink" Target="https://www.retroretter.de/products/as_ps4_white_alps_10k?srsltid=AfmBOopoCrFl1mMws8QJwiGoyE-9Zy9QsMMX_bR88EE8k8mVLcOP8Wop" TargetMode="External"/><Relationship Id="rId10" Type="http://schemas.openxmlformats.org/officeDocument/2006/relationships/hyperlink" Target="https://www.reichelt.de/de/de/shop/produkt/buchsenleisten_2_54_mm_1x07_gerade-119916" TargetMode="External"/><Relationship Id="rId19" Type="http://schemas.openxmlformats.org/officeDocument/2006/relationships/hyperlink" Target="https://www.reichelt.de/de/de/shop/produkt/led_5_mm_bedrahtet_rot_700_mcd_30_-347922" TargetMode="External"/><Relationship Id="rId4" Type="http://schemas.openxmlformats.org/officeDocument/2006/relationships/hyperlink" Target="https://www.reichelt.de/de/de/shop/produkt/wippschalter_ein_-_aus_1_polig_schwarz-257132" TargetMode="External"/><Relationship Id="rId9" Type="http://schemas.openxmlformats.org/officeDocument/2006/relationships/hyperlink" Target="https://www.reichelt.de/de/de/shop/produkt/stiftleiste_rm_2_54mm_gewinkelt_1-reihig_10-polig-330991" TargetMode="External"/><Relationship Id="rId14" Type="http://schemas.openxmlformats.org/officeDocument/2006/relationships/hyperlink" Target="https://www.reichelt.de/de/de/shop/produkt/smd-widerstand_0805_220_ohm_125_mw_1_-346599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AD0B-964F-4276-AC32-7B13E3F7BAB5}">
  <dimension ref="A1:J60"/>
  <sheetViews>
    <sheetView tabSelected="1" workbookViewId="0">
      <selection activeCell="G62" sqref="G62"/>
    </sheetView>
  </sheetViews>
  <sheetFormatPr baseColWidth="10" defaultRowHeight="15" x14ac:dyDescent="0.25"/>
  <cols>
    <col min="1" max="1" width="15.42578125" bestFit="1" customWidth="1"/>
    <col min="2" max="2" width="28.140625" bestFit="1" customWidth="1"/>
    <col min="3" max="3" width="14.7109375" bestFit="1" customWidth="1"/>
    <col min="4" max="4" width="13.85546875" bestFit="1" customWidth="1"/>
    <col min="5" max="5" width="13.7109375" bestFit="1" customWidth="1"/>
    <col min="6" max="6" width="13" bestFit="1" customWidth="1"/>
    <col min="7" max="7" width="14.28515625" bestFit="1" customWidth="1"/>
    <col min="8" max="8" width="12" bestFit="1" customWidth="1"/>
    <col min="9" max="9" width="9.5703125" bestFit="1" customWidth="1"/>
  </cols>
  <sheetData>
    <row r="1" spans="1:10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16</v>
      </c>
      <c r="G1" t="s">
        <v>2</v>
      </c>
      <c r="H1" t="s">
        <v>17</v>
      </c>
      <c r="I1" t="s">
        <v>3</v>
      </c>
      <c r="J1" t="s">
        <v>4</v>
      </c>
    </row>
    <row r="2" spans="1:10" x14ac:dyDescent="0.25">
      <c r="A2" t="s">
        <v>5</v>
      </c>
      <c r="B2" t="s">
        <v>8</v>
      </c>
      <c r="C2">
        <v>1</v>
      </c>
      <c r="D2">
        <v>1</v>
      </c>
      <c r="E2">
        <v>1</v>
      </c>
      <c r="F2">
        <v>8.49</v>
      </c>
      <c r="G2">
        <f>F2/D2</f>
        <v>8.49</v>
      </c>
      <c r="H2">
        <f t="shared" ref="H2:H45" si="0">C2*G2</f>
        <v>8.49</v>
      </c>
      <c r="I2">
        <f>E2*F2</f>
        <v>8.49</v>
      </c>
      <c r="J2" s="3" t="s">
        <v>6</v>
      </c>
    </row>
    <row r="3" spans="1:10" x14ac:dyDescent="0.25">
      <c r="A3" t="s">
        <v>7</v>
      </c>
      <c r="B3" t="s">
        <v>9</v>
      </c>
      <c r="C3">
        <v>1</v>
      </c>
      <c r="D3">
        <v>1</v>
      </c>
      <c r="E3">
        <v>1</v>
      </c>
      <c r="F3">
        <v>4</v>
      </c>
      <c r="G3">
        <f t="shared" ref="G3:G57" si="1">F3/D3</f>
        <v>4</v>
      </c>
      <c r="H3">
        <f t="shared" si="0"/>
        <v>4</v>
      </c>
      <c r="I3">
        <f t="shared" ref="I3:I57" si="2">E3*F3</f>
        <v>4</v>
      </c>
      <c r="J3" t="s">
        <v>10</v>
      </c>
    </row>
    <row r="4" spans="1:10" x14ac:dyDescent="0.25">
      <c r="A4" t="s">
        <v>11</v>
      </c>
      <c r="B4" t="s">
        <v>12</v>
      </c>
      <c r="C4">
        <v>1</v>
      </c>
      <c r="D4">
        <v>1</v>
      </c>
      <c r="E4">
        <v>1</v>
      </c>
      <c r="F4">
        <v>1.87</v>
      </c>
      <c r="G4">
        <f t="shared" si="1"/>
        <v>1.87</v>
      </c>
      <c r="H4">
        <f t="shared" si="0"/>
        <v>1.87</v>
      </c>
      <c r="I4">
        <f t="shared" si="2"/>
        <v>1.87</v>
      </c>
      <c r="J4" s="3" t="s">
        <v>13</v>
      </c>
    </row>
    <row r="5" spans="1:10" x14ac:dyDescent="0.25">
      <c r="A5" t="s">
        <v>11</v>
      </c>
      <c r="B5" t="s">
        <v>15</v>
      </c>
      <c r="C5">
        <v>1</v>
      </c>
      <c r="D5">
        <v>1</v>
      </c>
      <c r="E5">
        <v>1</v>
      </c>
      <c r="F5">
        <v>1.06</v>
      </c>
      <c r="G5">
        <f t="shared" si="1"/>
        <v>1.06</v>
      </c>
      <c r="H5">
        <f t="shared" si="0"/>
        <v>1.06</v>
      </c>
      <c r="I5">
        <f t="shared" si="2"/>
        <v>1.06</v>
      </c>
      <c r="J5" t="s">
        <v>14</v>
      </c>
    </row>
    <row r="6" spans="1:10" x14ac:dyDescent="0.25">
      <c r="A6" t="s">
        <v>23</v>
      </c>
      <c r="B6" t="s">
        <v>18</v>
      </c>
      <c r="C6">
        <v>4</v>
      </c>
      <c r="D6">
        <v>10</v>
      </c>
      <c r="E6">
        <v>1</v>
      </c>
      <c r="F6">
        <v>26.5</v>
      </c>
      <c r="G6">
        <f t="shared" si="1"/>
        <v>2.65</v>
      </c>
      <c r="H6">
        <f t="shared" si="0"/>
        <v>10.6</v>
      </c>
      <c r="I6">
        <f t="shared" si="2"/>
        <v>26.5</v>
      </c>
      <c r="J6" s="3" t="s">
        <v>22</v>
      </c>
    </row>
    <row r="7" spans="1:10" x14ac:dyDescent="0.25">
      <c r="A7" t="s">
        <v>24</v>
      </c>
      <c r="B7" t="s">
        <v>25</v>
      </c>
      <c r="C7">
        <v>2</v>
      </c>
      <c r="D7">
        <v>1</v>
      </c>
      <c r="E7">
        <v>2</v>
      </c>
      <c r="F7">
        <v>5.9</v>
      </c>
      <c r="G7">
        <f t="shared" si="1"/>
        <v>5.9</v>
      </c>
      <c r="H7">
        <f t="shared" si="0"/>
        <v>11.8</v>
      </c>
      <c r="I7">
        <f t="shared" si="2"/>
        <v>11.8</v>
      </c>
      <c r="J7" t="s">
        <v>115</v>
      </c>
    </row>
    <row r="8" spans="1:10" x14ac:dyDescent="0.25">
      <c r="A8" t="s">
        <v>116</v>
      </c>
      <c r="B8" t="s">
        <v>26</v>
      </c>
      <c r="C8">
        <v>1</v>
      </c>
      <c r="D8">
        <v>1</v>
      </c>
      <c r="E8">
        <v>1</v>
      </c>
      <c r="F8">
        <v>1.8</v>
      </c>
      <c r="G8">
        <f t="shared" si="1"/>
        <v>1.8</v>
      </c>
      <c r="H8">
        <f t="shared" si="0"/>
        <v>1.8</v>
      </c>
      <c r="I8">
        <f t="shared" si="2"/>
        <v>1.8</v>
      </c>
      <c r="J8" s="3" t="s">
        <v>28</v>
      </c>
    </row>
    <row r="9" spans="1:10" x14ac:dyDescent="0.25">
      <c r="A9" t="s">
        <v>116</v>
      </c>
      <c r="B9" t="s">
        <v>131</v>
      </c>
      <c r="C9">
        <v>1</v>
      </c>
      <c r="D9">
        <v>1</v>
      </c>
      <c r="E9">
        <v>1</v>
      </c>
      <c r="F9">
        <v>0.48</v>
      </c>
      <c r="G9">
        <f t="shared" si="1"/>
        <v>0.48</v>
      </c>
      <c r="H9">
        <f t="shared" si="0"/>
        <v>0.48</v>
      </c>
      <c r="I9">
        <f t="shared" si="2"/>
        <v>0.48</v>
      </c>
      <c r="J9" s="3" t="s">
        <v>27</v>
      </c>
    </row>
    <row r="10" spans="1:10" x14ac:dyDescent="0.25">
      <c r="A10" t="s">
        <v>117</v>
      </c>
      <c r="B10" t="s">
        <v>91</v>
      </c>
      <c r="C10">
        <v>1</v>
      </c>
      <c r="D10">
        <v>1</v>
      </c>
      <c r="E10">
        <v>1</v>
      </c>
      <c r="F10">
        <v>0.76</v>
      </c>
      <c r="G10">
        <f t="shared" si="1"/>
        <v>0.76</v>
      </c>
      <c r="H10">
        <f t="shared" si="0"/>
        <v>0.76</v>
      </c>
      <c r="I10">
        <f t="shared" si="2"/>
        <v>0.76</v>
      </c>
      <c r="J10" s="3" t="s">
        <v>92</v>
      </c>
    </row>
    <row r="11" spans="1:10" x14ac:dyDescent="0.25">
      <c r="A11" t="s">
        <v>118</v>
      </c>
      <c r="B11" t="s">
        <v>29</v>
      </c>
      <c r="C11">
        <v>1</v>
      </c>
      <c r="D11">
        <v>1</v>
      </c>
      <c r="E11">
        <v>1</v>
      </c>
      <c r="F11">
        <v>3.99</v>
      </c>
      <c r="G11">
        <f t="shared" si="1"/>
        <v>3.99</v>
      </c>
      <c r="H11">
        <f t="shared" si="0"/>
        <v>3.99</v>
      </c>
      <c r="I11">
        <f t="shared" si="2"/>
        <v>3.99</v>
      </c>
      <c r="J11" s="3" t="s">
        <v>110</v>
      </c>
    </row>
    <row r="12" spans="1:10" x14ac:dyDescent="0.25">
      <c r="A12" t="s">
        <v>119</v>
      </c>
      <c r="B12" t="s">
        <v>132</v>
      </c>
      <c r="C12">
        <v>2</v>
      </c>
      <c r="D12">
        <v>1</v>
      </c>
      <c r="E12">
        <v>2</v>
      </c>
      <c r="F12">
        <v>0.25</v>
      </c>
      <c r="G12">
        <f t="shared" si="1"/>
        <v>0.25</v>
      </c>
      <c r="H12">
        <f t="shared" si="0"/>
        <v>0.5</v>
      </c>
      <c r="I12">
        <f t="shared" si="2"/>
        <v>0.5</v>
      </c>
      <c r="J12" s="3" t="s">
        <v>93</v>
      </c>
    </row>
    <row r="13" spans="1:10" x14ac:dyDescent="0.25">
      <c r="A13" t="s">
        <v>30</v>
      </c>
      <c r="B13" t="s">
        <v>31</v>
      </c>
      <c r="C13">
        <v>1</v>
      </c>
      <c r="D13">
        <v>1</v>
      </c>
      <c r="E13">
        <v>1</v>
      </c>
      <c r="F13">
        <v>0.5</v>
      </c>
      <c r="G13">
        <f t="shared" si="1"/>
        <v>0.5</v>
      </c>
      <c r="H13">
        <f t="shared" si="0"/>
        <v>0.5</v>
      </c>
      <c r="I13">
        <f t="shared" si="2"/>
        <v>0.5</v>
      </c>
      <c r="J13" s="3" t="s">
        <v>32</v>
      </c>
    </row>
    <row r="14" spans="1:10" x14ac:dyDescent="0.25">
      <c r="A14" t="s">
        <v>33</v>
      </c>
      <c r="B14" t="s">
        <v>133</v>
      </c>
      <c r="C14">
        <v>2</v>
      </c>
      <c r="D14">
        <v>1</v>
      </c>
      <c r="E14">
        <v>2</v>
      </c>
      <c r="F14">
        <v>0.08</v>
      </c>
      <c r="G14">
        <f t="shared" si="1"/>
        <v>0.08</v>
      </c>
      <c r="H14">
        <f t="shared" si="0"/>
        <v>0.16</v>
      </c>
      <c r="I14">
        <f t="shared" si="2"/>
        <v>0.16</v>
      </c>
      <c r="J14" s="3" t="s">
        <v>82</v>
      </c>
    </row>
    <row r="15" spans="1:10" x14ac:dyDescent="0.25">
      <c r="A15" t="s">
        <v>33</v>
      </c>
      <c r="B15" t="s">
        <v>134</v>
      </c>
      <c r="C15">
        <v>4</v>
      </c>
      <c r="D15">
        <v>1</v>
      </c>
      <c r="E15">
        <v>4</v>
      </c>
      <c r="F15">
        <v>0.08</v>
      </c>
      <c r="G15">
        <f t="shared" ref="G15:G16" si="3">F15/D15</f>
        <v>0.08</v>
      </c>
      <c r="H15">
        <f t="shared" ref="H15:H16" si="4">C15*G15</f>
        <v>0.32</v>
      </c>
      <c r="I15">
        <f t="shared" ref="I15:I16" si="5">E15*F15</f>
        <v>0.32</v>
      </c>
      <c r="J15" s="3" t="s">
        <v>83</v>
      </c>
    </row>
    <row r="16" spans="1:10" x14ac:dyDescent="0.25">
      <c r="A16" t="s">
        <v>33</v>
      </c>
      <c r="B16" t="s">
        <v>135</v>
      </c>
      <c r="C16">
        <v>2</v>
      </c>
      <c r="D16">
        <v>1</v>
      </c>
      <c r="E16">
        <v>2</v>
      </c>
      <c r="F16">
        <v>0.08</v>
      </c>
      <c r="G16">
        <f t="shared" si="3"/>
        <v>0.08</v>
      </c>
      <c r="H16">
        <f t="shared" si="4"/>
        <v>0.16</v>
      </c>
      <c r="I16">
        <f t="shared" si="5"/>
        <v>0.16</v>
      </c>
      <c r="J16" s="3" t="s">
        <v>84</v>
      </c>
    </row>
    <row r="17" spans="1:10" x14ac:dyDescent="0.25">
      <c r="A17" t="s">
        <v>33</v>
      </c>
      <c r="B17" t="s">
        <v>136</v>
      </c>
      <c r="C17">
        <v>1</v>
      </c>
      <c r="D17">
        <v>1</v>
      </c>
      <c r="E17">
        <v>1</v>
      </c>
      <c r="F17">
        <v>0.08</v>
      </c>
      <c r="G17">
        <f t="shared" si="1"/>
        <v>0.08</v>
      </c>
      <c r="H17">
        <f t="shared" si="0"/>
        <v>0.08</v>
      </c>
      <c r="I17">
        <f t="shared" si="2"/>
        <v>0.08</v>
      </c>
      <c r="J17" s="3" t="s">
        <v>85</v>
      </c>
    </row>
    <row r="18" spans="1:10" x14ac:dyDescent="0.25">
      <c r="A18" t="s">
        <v>120</v>
      </c>
      <c r="B18" t="s">
        <v>34</v>
      </c>
      <c r="C18">
        <v>1</v>
      </c>
      <c r="D18">
        <v>1</v>
      </c>
      <c r="E18">
        <v>1</v>
      </c>
      <c r="F18">
        <v>6.5</v>
      </c>
      <c r="G18">
        <f t="shared" si="1"/>
        <v>6.5</v>
      </c>
      <c r="H18">
        <f t="shared" si="0"/>
        <v>6.5</v>
      </c>
      <c r="I18">
        <f t="shared" si="2"/>
        <v>6.5</v>
      </c>
      <c r="J18" t="s">
        <v>114</v>
      </c>
    </row>
    <row r="19" spans="1:10" x14ac:dyDescent="0.25">
      <c r="A19" t="s">
        <v>35</v>
      </c>
      <c r="B19" t="s">
        <v>36</v>
      </c>
      <c r="C19">
        <v>6</v>
      </c>
      <c r="D19">
        <v>1</v>
      </c>
      <c r="E19">
        <v>6</v>
      </c>
      <c r="F19">
        <v>0.25</v>
      </c>
      <c r="G19">
        <f t="shared" si="1"/>
        <v>0.25</v>
      </c>
      <c r="H19">
        <f t="shared" si="0"/>
        <v>1.5</v>
      </c>
      <c r="I19">
        <f t="shared" si="2"/>
        <v>1.5</v>
      </c>
      <c r="J19" s="3" t="s">
        <v>38</v>
      </c>
    </row>
    <row r="20" spans="1:10" x14ac:dyDescent="0.25">
      <c r="A20" t="s">
        <v>121</v>
      </c>
      <c r="B20" t="s">
        <v>94</v>
      </c>
      <c r="C20">
        <v>1</v>
      </c>
      <c r="D20">
        <v>1</v>
      </c>
      <c r="E20">
        <v>1</v>
      </c>
      <c r="F20">
        <v>0.04</v>
      </c>
      <c r="G20">
        <f t="shared" si="1"/>
        <v>0.04</v>
      </c>
      <c r="H20">
        <f t="shared" si="0"/>
        <v>0.04</v>
      </c>
      <c r="I20">
        <f t="shared" si="2"/>
        <v>0.04</v>
      </c>
      <c r="J20" t="s">
        <v>95</v>
      </c>
    </row>
    <row r="21" spans="1:10" x14ac:dyDescent="0.25">
      <c r="A21" t="s">
        <v>119</v>
      </c>
      <c r="B21" t="s">
        <v>137</v>
      </c>
      <c r="C21">
        <v>2</v>
      </c>
      <c r="D21">
        <v>1</v>
      </c>
      <c r="E21">
        <v>2</v>
      </c>
      <c r="F21">
        <v>0.26</v>
      </c>
      <c r="G21">
        <f t="shared" si="1"/>
        <v>0.26</v>
      </c>
      <c r="H21">
        <f t="shared" si="0"/>
        <v>0.52</v>
      </c>
      <c r="I21">
        <f t="shared" si="2"/>
        <v>0.52</v>
      </c>
      <c r="J21" s="3" t="s">
        <v>37</v>
      </c>
    </row>
    <row r="22" spans="1:10" x14ac:dyDescent="0.25">
      <c r="A22" t="s">
        <v>119</v>
      </c>
      <c r="B22" t="s">
        <v>138</v>
      </c>
      <c r="C22">
        <v>1</v>
      </c>
      <c r="D22">
        <v>1</v>
      </c>
      <c r="E22">
        <v>1</v>
      </c>
      <c r="F22">
        <v>0.03</v>
      </c>
      <c r="G22">
        <f t="shared" si="1"/>
        <v>0.03</v>
      </c>
      <c r="H22">
        <f t="shared" si="0"/>
        <v>0.03</v>
      </c>
      <c r="I22">
        <f t="shared" si="2"/>
        <v>0.03</v>
      </c>
      <c r="J22" s="3" t="s">
        <v>39</v>
      </c>
    </row>
    <row r="23" spans="1:10" x14ac:dyDescent="0.25">
      <c r="A23" t="s">
        <v>122</v>
      </c>
      <c r="B23" t="s">
        <v>102</v>
      </c>
      <c r="C23">
        <v>1</v>
      </c>
      <c r="D23">
        <v>1</v>
      </c>
      <c r="E23">
        <v>1</v>
      </c>
      <c r="F23">
        <v>0.02</v>
      </c>
      <c r="G23">
        <f t="shared" si="1"/>
        <v>0.02</v>
      </c>
      <c r="H23">
        <f t="shared" si="0"/>
        <v>0.02</v>
      </c>
      <c r="I23">
        <f t="shared" si="2"/>
        <v>0.02</v>
      </c>
      <c r="J23" s="3" t="s">
        <v>40</v>
      </c>
    </row>
    <row r="24" spans="1:10" x14ac:dyDescent="0.25">
      <c r="A24" t="s">
        <v>122</v>
      </c>
      <c r="B24" t="s">
        <v>100</v>
      </c>
      <c r="C24">
        <v>16</v>
      </c>
      <c r="D24">
        <v>1</v>
      </c>
      <c r="E24">
        <v>16</v>
      </c>
      <c r="F24">
        <v>0.02</v>
      </c>
      <c r="G24">
        <f t="shared" ref="G24" si="6">F24/D24</f>
        <v>0.02</v>
      </c>
      <c r="H24">
        <f t="shared" ref="H24" si="7">C24*G24</f>
        <v>0.32</v>
      </c>
      <c r="I24">
        <f t="shared" ref="I24" si="8">E24*F24</f>
        <v>0.32</v>
      </c>
      <c r="J24" t="s">
        <v>101</v>
      </c>
    </row>
    <row r="25" spans="1:10" x14ac:dyDescent="0.25">
      <c r="A25" t="s">
        <v>122</v>
      </c>
      <c r="B25" t="s">
        <v>41</v>
      </c>
      <c r="C25">
        <v>4</v>
      </c>
      <c r="D25">
        <v>1</v>
      </c>
      <c r="E25">
        <v>1</v>
      </c>
      <c r="F25">
        <v>0.02</v>
      </c>
      <c r="G25">
        <f t="shared" si="1"/>
        <v>0.02</v>
      </c>
      <c r="H25">
        <f t="shared" si="0"/>
        <v>0.08</v>
      </c>
      <c r="I25">
        <f t="shared" si="2"/>
        <v>0.02</v>
      </c>
      <c r="J25" t="s">
        <v>42</v>
      </c>
    </row>
    <row r="26" spans="1:10" x14ac:dyDescent="0.25">
      <c r="A26" t="s">
        <v>122</v>
      </c>
      <c r="B26" t="s">
        <v>44</v>
      </c>
      <c r="C26">
        <v>3</v>
      </c>
      <c r="D26">
        <v>1</v>
      </c>
      <c r="E26">
        <v>1</v>
      </c>
      <c r="F26">
        <v>0.02</v>
      </c>
      <c r="G26">
        <f t="shared" si="1"/>
        <v>0.02</v>
      </c>
      <c r="H26">
        <f t="shared" si="0"/>
        <v>0.06</v>
      </c>
      <c r="I26">
        <f t="shared" si="2"/>
        <v>0.02</v>
      </c>
      <c r="J26" t="s">
        <v>43</v>
      </c>
    </row>
    <row r="27" spans="1:10" x14ac:dyDescent="0.25">
      <c r="A27" t="s">
        <v>122</v>
      </c>
      <c r="B27" t="s">
        <v>96</v>
      </c>
      <c r="C27">
        <v>1</v>
      </c>
      <c r="D27">
        <v>1</v>
      </c>
      <c r="E27">
        <v>1</v>
      </c>
      <c r="F27">
        <v>0.02</v>
      </c>
      <c r="G27">
        <f t="shared" ref="G27" si="9">F27/D27</f>
        <v>0.02</v>
      </c>
      <c r="H27">
        <f t="shared" ref="H27" si="10">C27*G27</f>
        <v>0.02</v>
      </c>
      <c r="I27">
        <f t="shared" ref="I27" si="11">E27*F27</f>
        <v>0.02</v>
      </c>
      <c r="J27" t="s">
        <v>98</v>
      </c>
    </row>
    <row r="28" spans="1:10" x14ac:dyDescent="0.25">
      <c r="A28" t="s">
        <v>122</v>
      </c>
      <c r="B28" t="s">
        <v>97</v>
      </c>
      <c r="C28">
        <v>2</v>
      </c>
      <c r="D28">
        <v>1</v>
      </c>
      <c r="E28">
        <v>2</v>
      </c>
      <c r="F28">
        <v>0.02</v>
      </c>
      <c r="G28">
        <f>F28/D28</f>
        <v>0.02</v>
      </c>
      <c r="H28">
        <f>C28*G28</f>
        <v>0.04</v>
      </c>
      <c r="I28">
        <f>E28*F28</f>
        <v>0.04</v>
      </c>
      <c r="J28" t="s">
        <v>99</v>
      </c>
    </row>
    <row r="29" spans="1:10" x14ac:dyDescent="0.25">
      <c r="A29" t="s">
        <v>122</v>
      </c>
      <c r="B29" t="s">
        <v>45</v>
      </c>
      <c r="C29">
        <v>2</v>
      </c>
      <c r="D29">
        <v>1</v>
      </c>
      <c r="E29">
        <v>1</v>
      </c>
      <c r="F29">
        <v>0.02</v>
      </c>
      <c r="G29">
        <f t="shared" si="1"/>
        <v>0.02</v>
      </c>
      <c r="H29">
        <f t="shared" si="0"/>
        <v>0.04</v>
      </c>
      <c r="I29">
        <f t="shared" si="2"/>
        <v>0.02</v>
      </c>
      <c r="J29" t="s">
        <v>46</v>
      </c>
    </row>
    <row r="30" spans="1:10" x14ac:dyDescent="0.25">
      <c r="A30" t="s">
        <v>53</v>
      </c>
      <c r="B30" t="s">
        <v>86</v>
      </c>
      <c r="C30">
        <v>1</v>
      </c>
      <c r="D30">
        <v>1</v>
      </c>
      <c r="E30">
        <v>1</v>
      </c>
      <c r="F30">
        <v>2.9</v>
      </c>
      <c r="G30">
        <f>F30/D30</f>
        <v>2.9</v>
      </c>
      <c r="H30">
        <f>C30*G30</f>
        <v>2.9</v>
      </c>
      <c r="I30">
        <f>E30*F30</f>
        <v>2.9</v>
      </c>
      <c r="J30" s="3" t="s">
        <v>87</v>
      </c>
    </row>
    <row r="31" spans="1:10" x14ac:dyDescent="0.25">
      <c r="A31" t="s">
        <v>123</v>
      </c>
      <c r="B31" t="s">
        <v>139</v>
      </c>
      <c r="C31">
        <v>1</v>
      </c>
      <c r="D31">
        <v>2</v>
      </c>
      <c r="E31">
        <v>1</v>
      </c>
      <c r="F31">
        <v>0.36</v>
      </c>
      <c r="G31">
        <f>F31/D31</f>
        <v>0.18</v>
      </c>
      <c r="H31">
        <f>C31*G31</f>
        <v>0.18</v>
      </c>
      <c r="I31">
        <f>E31*F31</f>
        <v>0.36</v>
      </c>
      <c r="J31" s="3" t="s">
        <v>103</v>
      </c>
    </row>
    <row r="32" spans="1:10" x14ac:dyDescent="0.25">
      <c r="A32" t="s">
        <v>124</v>
      </c>
      <c r="B32" t="s">
        <v>140</v>
      </c>
      <c r="C32">
        <v>4</v>
      </c>
      <c r="D32">
        <v>1</v>
      </c>
      <c r="E32">
        <v>6</v>
      </c>
      <c r="F32">
        <v>0.31</v>
      </c>
      <c r="G32">
        <f>F32/D32</f>
        <v>0.31</v>
      </c>
      <c r="H32">
        <f>C32*G32</f>
        <v>1.24</v>
      </c>
      <c r="I32">
        <f>E32*F32</f>
        <v>1.8599999999999999</v>
      </c>
      <c r="J32" s="3" t="s">
        <v>104</v>
      </c>
    </row>
    <row r="33" spans="1:10" x14ac:dyDescent="0.25">
      <c r="A33" t="s">
        <v>124</v>
      </c>
      <c r="B33" t="s">
        <v>141</v>
      </c>
      <c r="C33">
        <v>2</v>
      </c>
      <c r="D33">
        <v>1</v>
      </c>
      <c r="E33">
        <v>1</v>
      </c>
      <c r="F33">
        <v>0.75</v>
      </c>
      <c r="G33">
        <f t="shared" ref="G33:G36" si="12">F33/D33</f>
        <v>0.75</v>
      </c>
      <c r="H33">
        <f t="shared" ref="H33:H36" si="13">C33*G33</f>
        <v>1.5</v>
      </c>
      <c r="I33">
        <f t="shared" ref="I33:I36" si="14">E33*F33</f>
        <v>0.75</v>
      </c>
      <c r="J33" s="3" t="s">
        <v>109</v>
      </c>
    </row>
    <row r="34" spans="1:10" x14ac:dyDescent="0.25">
      <c r="A34" t="s">
        <v>123</v>
      </c>
      <c r="B34" t="s">
        <v>143</v>
      </c>
      <c r="C34">
        <v>5</v>
      </c>
      <c r="D34">
        <v>5</v>
      </c>
      <c r="E34">
        <v>1</v>
      </c>
      <c r="F34">
        <v>0.35</v>
      </c>
      <c r="G34">
        <f t="shared" si="12"/>
        <v>6.9999999999999993E-2</v>
      </c>
      <c r="H34">
        <f t="shared" si="13"/>
        <v>0.35</v>
      </c>
      <c r="I34">
        <f t="shared" si="14"/>
        <v>0.35</v>
      </c>
      <c r="J34" s="3" t="s">
        <v>107</v>
      </c>
    </row>
    <row r="35" spans="1:10" x14ac:dyDescent="0.25">
      <c r="A35" t="s">
        <v>123</v>
      </c>
      <c r="B35" t="s">
        <v>142</v>
      </c>
      <c r="C35">
        <v>4</v>
      </c>
      <c r="D35">
        <v>4</v>
      </c>
      <c r="E35">
        <v>1</v>
      </c>
      <c r="F35">
        <v>0.69</v>
      </c>
      <c r="G35">
        <f t="shared" si="12"/>
        <v>0.17249999999999999</v>
      </c>
      <c r="H35">
        <f t="shared" si="13"/>
        <v>0.69</v>
      </c>
      <c r="I35">
        <f t="shared" si="14"/>
        <v>0.69</v>
      </c>
      <c r="J35" s="3" t="s">
        <v>108</v>
      </c>
    </row>
    <row r="36" spans="1:10" x14ac:dyDescent="0.25">
      <c r="A36" t="s">
        <v>125</v>
      </c>
      <c r="B36" t="s">
        <v>105</v>
      </c>
      <c r="C36">
        <v>1</v>
      </c>
      <c r="D36">
        <v>1</v>
      </c>
      <c r="E36">
        <v>1</v>
      </c>
      <c r="F36">
        <v>0.02</v>
      </c>
      <c r="G36">
        <f t="shared" si="12"/>
        <v>0.02</v>
      </c>
      <c r="H36">
        <f t="shared" si="13"/>
        <v>0.02</v>
      </c>
      <c r="I36">
        <f t="shared" si="14"/>
        <v>0.02</v>
      </c>
      <c r="J36" s="3" t="s">
        <v>106</v>
      </c>
    </row>
    <row r="37" spans="1:10" x14ac:dyDescent="0.25">
      <c r="A37" t="s">
        <v>126</v>
      </c>
      <c r="B37" t="s">
        <v>144</v>
      </c>
      <c r="C37">
        <v>15</v>
      </c>
      <c r="D37">
        <v>100</v>
      </c>
      <c r="E37">
        <v>1</v>
      </c>
      <c r="F37">
        <v>9.75</v>
      </c>
      <c r="G37">
        <f>F37/D37</f>
        <v>9.7500000000000003E-2</v>
      </c>
      <c r="H37">
        <f>C37*G37</f>
        <v>1.4625000000000001</v>
      </c>
      <c r="I37">
        <f>E37*F37</f>
        <v>9.75</v>
      </c>
      <c r="J37" t="s">
        <v>55</v>
      </c>
    </row>
    <row r="38" spans="1:10" x14ac:dyDescent="0.25">
      <c r="A38" t="s">
        <v>127</v>
      </c>
      <c r="B38" t="s">
        <v>145</v>
      </c>
      <c r="C38">
        <v>4</v>
      </c>
      <c r="D38">
        <v>25</v>
      </c>
      <c r="E38">
        <v>1</v>
      </c>
      <c r="F38">
        <v>4.7</v>
      </c>
      <c r="G38">
        <f t="shared" si="1"/>
        <v>0.188</v>
      </c>
      <c r="H38">
        <f t="shared" si="0"/>
        <v>0.752</v>
      </c>
      <c r="I38">
        <f t="shared" si="2"/>
        <v>4.7</v>
      </c>
      <c r="J38" t="s">
        <v>47</v>
      </c>
    </row>
    <row r="39" spans="1:10" x14ac:dyDescent="0.25">
      <c r="A39" t="s">
        <v>127</v>
      </c>
      <c r="B39" t="s">
        <v>146</v>
      </c>
      <c r="C39">
        <v>4</v>
      </c>
      <c r="D39">
        <v>25</v>
      </c>
      <c r="E39">
        <v>1</v>
      </c>
      <c r="F39">
        <v>4.7</v>
      </c>
      <c r="G39">
        <f t="shared" si="1"/>
        <v>0.188</v>
      </c>
      <c r="H39">
        <f t="shared" si="0"/>
        <v>0.752</v>
      </c>
      <c r="I39">
        <f t="shared" si="2"/>
        <v>4.7</v>
      </c>
      <c r="J39" t="s">
        <v>48</v>
      </c>
    </row>
    <row r="40" spans="1:10" x14ac:dyDescent="0.25">
      <c r="A40" t="s">
        <v>128</v>
      </c>
      <c r="B40" t="s">
        <v>50</v>
      </c>
      <c r="C40">
        <v>4</v>
      </c>
      <c r="D40">
        <v>50</v>
      </c>
      <c r="E40">
        <v>1</v>
      </c>
      <c r="F40">
        <v>9.99</v>
      </c>
      <c r="G40">
        <f t="shared" si="1"/>
        <v>0.19980000000000001</v>
      </c>
      <c r="H40">
        <f t="shared" si="0"/>
        <v>0.79920000000000002</v>
      </c>
      <c r="I40">
        <f t="shared" si="2"/>
        <v>9.99</v>
      </c>
      <c r="J40" t="s">
        <v>49</v>
      </c>
    </row>
    <row r="41" spans="1:10" x14ac:dyDescent="0.25">
      <c r="A41" t="s">
        <v>128</v>
      </c>
      <c r="B41" t="s">
        <v>52</v>
      </c>
      <c r="C41">
        <v>4</v>
      </c>
      <c r="D41">
        <v>30</v>
      </c>
      <c r="E41">
        <v>1</v>
      </c>
      <c r="F41">
        <v>8.99</v>
      </c>
      <c r="G41">
        <f t="shared" si="1"/>
        <v>0.29966666666666669</v>
      </c>
      <c r="H41">
        <f t="shared" si="0"/>
        <v>1.1986666666666668</v>
      </c>
      <c r="I41">
        <f t="shared" si="2"/>
        <v>8.99</v>
      </c>
      <c r="J41" t="s">
        <v>51</v>
      </c>
    </row>
    <row r="42" spans="1:10" x14ac:dyDescent="0.25">
      <c r="A42" t="s">
        <v>128</v>
      </c>
      <c r="B42" t="s">
        <v>88</v>
      </c>
      <c r="C42">
        <v>2</v>
      </c>
      <c r="D42">
        <v>10</v>
      </c>
      <c r="E42">
        <v>1</v>
      </c>
      <c r="F42">
        <v>6.72</v>
      </c>
      <c r="G42">
        <f t="shared" si="1"/>
        <v>0.67199999999999993</v>
      </c>
      <c r="H42">
        <f t="shared" si="0"/>
        <v>1.3439999999999999</v>
      </c>
      <c r="I42">
        <f t="shared" si="2"/>
        <v>6.72</v>
      </c>
      <c r="J42" t="s">
        <v>113</v>
      </c>
    </row>
    <row r="43" spans="1:10" x14ac:dyDescent="0.25">
      <c r="A43" t="s">
        <v>54</v>
      </c>
      <c r="B43" t="s">
        <v>147</v>
      </c>
      <c r="C43">
        <v>400</v>
      </c>
      <c r="D43">
        <v>1000</v>
      </c>
      <c r="E43">
        <v>1</v>
      </c>
      <c r="F43">
        <v>32.99</v>
      </c>
      <c r="G43">
        <f t="shared" si="1"/>
        <v>3.2990000000000005E-2</v>
      </c>
      <c r="H43">
        <f t="shared" si="0"/>
        <v>13.196000000000002</v>
      </c>
      <c r="I43">
        <f t="shared" si="2"/>
        <v>32.99</v>
      </c>
      <c r="J43" t="s">
        <v>57</v>
      </c>
    </row>
    <row r="44" spans="1:10" x14ac:dyDescent="0.25">
      <c r="A44" t="s">
        <v>54</v>
      </c>
      <c r="B44" t="s">
        <v>148</v>
      </c>
      <c r="C44">
        <v>250</v>
      </c>
      <c r="D44">
        <v>1000</v>
      </c>
      <c r="E44">
        <v>1</v>
      </c>
      <c r="F44">
        <v>32.99</v>
      </c>
      <c r="G44">
        <f t="shared" si="1"/>
        <v>3.2990000000000005E-2</v>
      </c>
      <c r="H44">
        <f t="shared" si="0"/>
        <v>8.2475000000000005</v>
      </c>
      <c r="I44">
        <f t="shared" si="2"/>
        <v>32.99</v>
      </c>
      <c r="J44" t="s">
        <v>56</v>
      </c>
    </row>
    <row r="45" spans="1:10" x14ac:dyDescent="0.25">
      <c r="A45" t="s">
        <v>54</v>
      </c>
      <c r="B45" t="s">
        <v>111</v>
      </c>
      <c r="C45">
        <v>35</v>
      </c>
      <c r="D45">
        <v>500</v>
      </c>
      <c r="E45">
        <v>1</v>
      </c>
      <c r="F45">
        <v>32.99</v>
      </c>
      <c r="G45">
        <f t="shared" si="1"/>
        <v>6.5980000000000011E-2</v>
      </c>
      <c r="H45">
        <f t="shared" si="0"/>
        <v>2.3093000000000004</v>
      </c>
      <c r="I45">
        <f t="shared" si="2"/>
        <v>32.99</v>
      </c>
      <c r="J45" t="s">
        <v>112</v>
      </c>
    </row>
    <row r="46" spans="1:10" x14ac:dyDescent="0.25">
      <c r="A46" t="s">
        <v>129</v>
      </c>
      <c r="B46" t="s">
        <v>59</v>
      </c>
      <c r="C46">
        <v>29</v>
      </c>
      <c r="D46">
        <v>100</v>
      </c>
      <c r="E46">
        <v>1</v>
      </c>
      <c r="F46">
        <v>3.58</v>
      </c>
      <c r="G46">
        <f t="shared" si="1"/>
        <v>3.5799999999999998E-2</v>
      </c>
      <c r="H46">
        <f t="shared" ref="H46:H57" si="15">C46*G46</f>
        <v>1.0382</v>
      </c>
      <c r="I46">
        <f t="shared" si="2"/>
        <v>3.58</v>
      </c>
      <c r="J46" t="s">
        <v>58</v>
      </c>
    </row>
    <row r="47" spans="1:10" x14ac:dyDescent="0.25">
      <c r="A47" t="s">
        <v>129</v>
      </c>
      <c r="B47" t="s">
        <v>76</v>
      </c>
      <c r="C47">
        <v>3</v>
      </c>
      <c r="D47">
        <v>1000</v>
      </c>
      <c r="E47">
        <v>1</v>
      </c>
      <c r="F47">
        <v>19.350000000000001</v>
      </c>
      <c r="G47">
        <f t="shared" si="1"/>
        <v>1.9350000000000003E-2</v>
      </c>
      <c r="H47">
        <f t="shared" si="15"/>
        <v>5.8050000000000004E-2</v>
      </c>
      <c r="I47">
        <f t="shared" si="2"/>
        <v>19.350000000000001</v>
      </c>
      <c r="J47" t="s">
        <v>79</v>
      </c>
    </row>
    <row r="48" spans="1:10" x14ac:dyDescent="0.25">
      <c r="A48" t="s">
        <v>129</v>
      </c>
      <c r="B48" t="s">
        <v>65</v>
      </c>
      <c r="C48">
        <v>4</v>
      </c>
      <c r="D48">
        <v>100</v>
      </c>
      <c r="E48">
        <v>1</v>
      </c>
      <c r="F48">
        <v>3.9</v>
      </c>
      <c r="G48">
        <f t="shared" si="1"/>
        <v>3.9E-2</v>
      </c>
      <c r="H48">
        <f t="shared" si="15"/>
        <v>0.156</v>
      </c>
      <c r="I48">
        <f t="shared" si="2"/>
        <v>3.9</v>
      </c>
      <c r="J48" t="s">
        <v>64</v>
      </c>
    </row>
    <row r="49" spans="1:10" x14ac:dyDescent="0.25">
      <c r="A49" t="s">
        <v>129</v>
      </c>
      <c r="B49" t="s">
        <v>66</v>
      </c>
      <c r="C49">
        <v>7</v>
      </c>
      <c r="D49">
        <v>100</v>
      </c>
      <c r="E49">
        <v>1</v>
      </c>
      <c r="F49">
        <v>4.37</v>
      </c>
      <c r="G49">
        <f t="shared" si="1"/>
        <v>4.3700000000000003E-2</v>
      </c>
      <c r="H49">
        <f t="shared" si="15"/>
        <v>0.30590000000000001</v>
      </c>
      <c r="I49">
        <f t="shared" si="2"/>
        <v>4.37</v>
      </c>
      <c r="J49" t="s">
        <v>67</v>
      </c>
    </row>
    <row r="50" spans="1:10" x14ac:dyDescent="0.25">
      <c r="A50" t="s">
        <v>129</v>
      </c>
      <c r="B50" t="s">
        <v>68</v>
      </c>
      <c r="C50">
        <v>6</v>
      </c>
      <c r="D50">
        <v>100</v>
      </c>
      <c r="E50">
        <v>1</v>
      </c>
      <c r="F50">
        <v>5.54</v>
      </c>
      <c r="G50">
        <f t="shared" si="1"/>
        <v>5.5399999999999998E-2</v>
      </c>
      <c r="H50">
        <f t="shared" si="15"/>
        <v>0.33239999999999997</v>
      </c>
      <c r="I50">
        <f t="shared" si="2"/>
        <v>5.54</v>
      </c>
      <c r="J50" t="s">
        <v>69</v>
      </c>
    </row>
    <row r="51" spans="1:10" x14ac:dyDescent="0.25">
      <c r="A51" t="s">
        <v>129</v>
      </c>
      <c r="B51" t="s">
        <v>77</v>
      </c>
      <c r="C51">
        <v>2</v>
      </c>
      <c r="D51">
        <v>100</v>
      </c>
      <c r="E51">
        <v>1</v>
      </c>
      <c r="F51">
        <v>6</v>
      </c>
      <c r="G51">
        <f t="shared" si="1"/>
        <v>0.06</v>
      </c>
      <c r="H51">
        <f t="shared" si="15"/>
        <v>0.12</v>
      </c>
      <c r="I51">
        <f t="shared" si="2"/>
        <v>6</v>
      </c>
      <c r="J51" t="s">
        <v>78</v>
      </c>
    </row>
    <row r="52" spans="1:10" x14ac:dyDescent="0.25">
      <c r="A52" t="s">
        <v>129</v>
      </c>
      <c r="B52" t="s">
        <v>71</v>
      </c>
      <c r="C52">
        <v>17</v>
      </c>
      <c r="D52">
        <v>100</v>
      </c>
      <c r="E52">
        <v>1</v>
      </c>
      <c r="F52">
        <v>7.57</v>
      </c>
      <c r="G52">
        <f t="shared" si="1"/>
        <v>7.5700000000000003E-2</v>
      </c>
      <c r="H52">
        <f t="shared" si="15"/>
        <v>1.2869000000000002</v>
      </c>
      <c r="I52">
        <f t="shared" si="2"/>
        <v>7.57</v>
      </c>
      <c r="J52" t="s">
        <v>70</v>
      </c>
    </row>
    <row r="53" spans="1:10" x14ac:dyDescent="0.25">
      <c r="A53" t="s">
        <v>129</v>
      </c>
      <c r="B53" t="s">
        <v>89</v>
      </c>
      <c r="C53">
        <v>2</v>
      </c>
      <c r="D53">
        <v>100</v>
      </c>
      <c r="E53">
        <v>1</v>
      </c>
      <c r="F53">
        <v>8.66</v>
      </c>
      <c r="G53">
        <f t="shared" si="1"/>
        <v>8.6599999999999996E-2</v>
      </c>
      <c r="H53">
        <f t="shared" si="15"/>
        <v>0.17319999999999999</v>
      </c>
      <c r="I53">
        <f t="shared" si="2"/>
        <v>8.66</v>
      </c>
      <c r="J53" t="s">
        <v>90</v>
      </c>
    </row>
    <row r="54" spans="1:10" x14ac:dyDescent="0.25">
      <c r="A54" t="s">
        <v>129</v>
      </c>
      <c r="B54" t="s">
        <v>61</v>
      </c>
      <c r="C54">
        <v>2</v>
      </c>
      <c r="D54">
        <v>100</v>
      </c>
      <c r="E54">
        <v>1</v>
      </c>
      <c r="F54">
        <v>9.69</v>
      </c>
      <c r="G54">
        <f t="shared" si="1"/>
        <v>9.69E-2</v>
      </c>
      <c r="H54">
        <f t="shared" si="15"/>
        <v>0.1938</v>
      </c>
      <c r="I54">
        <f t="shared" si="2"/>
        <v>9.69</v>
      </c>
      <c r="J54" s="2" t="s">
        <v>60</v>
      </c>
    </row>
    <row r="55" spans="1:10" x14ac:dyDescent="0.25">
      <c r="A55" t="s">
        <v>130</v>
      </c>
      <c r="B55" t="s">
        <v>62</v>
      </c>
      <c r="C55">
        <v>64</v>
      </c>
      <c r="D55">
        <v>500</v>
      </c>
      <c r="E55">
        <v>1</v>
      </c>
      <c r="F55">
        <v>10.76</v>
      </c>
      <c r="G55">
        <f t="shared" si="1"/>
        <v>2.1520000000000001E-2</v>
      </c>
      <c r="H55">
        <f t="shared" si="15"/>
        <v>1.3772800000000001</v>
      </c>
      <c r="I55">
        <f t="shared" si="2"/>
        <v>10.76</v>
      </c>
      <c r="J55" t="s">
        <v>63</v>
      </c>
    </row>
    <row r="56" spans="1:10" x14ac:dyDescent="0.25">
      <c r="A56" t="s">
        <v>72</v>
      </c>
      <c r="B56" t="s">
        <v>80</v>
      </c>
      <c r="C56">
        <v>1</v>
      </c>
      <c r="D56">
        <v>5</v>
      </c>
      <c r="E56">
        <v>1</v>
      </c>
      <c r="F56">
        <v>8</v>
      </c>
      <c r="G56">
        <f t="shared" si="1"/>
        <v>1.6</v>
      </c>
      <c r="H56">
        <f t="shared" si="15"/>
        <v>1.6</v>
      </c>
      <c r="I56">
        <f t="shared" si="2"/>
        <v>8</v>
      </c>
      <c r="J56" t="s">
        <v>81</v>
      </c>
    </row>
    <row r="57" spans="1:10" x14ac:dyDescent="0.25">
      <c r="A57" t="s">
        <v>72</v>
      </c>
      <c r="B57" t="s">
        <v>80</v>
      </c>
      <c r="C57">
        <v>1</v>
      </c>
      <c r="D57">
        <v>5</v>
      </c>
      <c r="E57">
        <v>1</v>
      </c>
      <c r="F57">
        <v>8</v>
      </c>
      <c r="G57">
        <f t="shared" si="1"/>
        <v>1.6</v>
      </c>
      <c r="H57">
        <f t="shared" si="15"/>
        <v>1.6</v>
      </c>
      <c r="I57">
        <f t="shared" si="2"/>
        <v>8</v>
      </c>
      <c r="J57" t="s">
        <v>81</v>
      </c>
    </row>
    <row r="59" spans="1:10" x14ac:dyDescent="0.25">
      <c r="H59" s="1" t="s">
        <v>74</v>
      </c>
      <c r="I59" s="1" t="s">
        <v>75</v>
      </c>
    </row>
    <row r="60" spans="1:10" x14ac:dyDescent="0.25">
      <c r="A60" s="4" t="s">
        <v>73</v>
      </c>
      <c r="B60" s="4"/>
      <c r="C60" s="4"/>
      <c r="D60" s="4"/>
      <c r="E60" s="4"/>
      <c r="F60" s="4"/>
      <c r="G60" s="4"/>
      <c r="H60">
        <f>SUM(H2:H57)</f>
        <v>100.92289666666665</v>
      </c>
      <c r="I60">
        <f>SUM(I2:I57)</f>
        <v>317.69</v>
      </c>
    </row>
  </sheetData>
  <mergeCells count="1">
    <mergeCell ref="A60:G60"/>
  </mergeCells>
  <hyperlinks>
    <hyperlink ref="J54" r:id="rId1" xr:uid="{F74B32D1-9896-4D4B-A0AB-E313F76774E1}"/>
    <hyperlink ref="J2" r:id="rId2" xr:uid="{A154E4C2-CC90-46ED-A9D7-9E08C169CE0D}"/>
    <hyperlink ref="J12" r:id="rId3" xr:uid="{19161049-7EBD-4624-BDF7-6459FE092888}"/>
    <hyperlink ref="J8" r:id="rId4" xr:uid="{59C8C9D5-525D-4241-AAB3-35750DAE5346}"/>
    <hyperlink ref="J9" r:id="rId5" xr:uid="{9DD0EFC0-2493-44F5-84EC-C6813223AF5A}"/>
    <hyperlink ref="J10" r:id="rId6" xr:uid="{395194CB-0826-42B4-A0E7-5D41A459B980}"/>
    <hyperlink ref="J19" r:id="rId7" xr:uid="{72510C4F-FB00-45C4-A503-94FCE52D812E}"/>
    <hyperlink ref="J22" r:id="rId8" xr:uid="{B3D299D3-07B4-4FBF-95BA-1D19C4E6AE80}"/>
    <hyperlink ref="J31" r:id="rId9" xr:uid="{6AFE110C-4420-42BA-ADC3-D54D9FE48404}"/>
    <hyperlink ref="J32" r:id="rId10" xr:uid="{6502C88A-7C81-49C4-800D-44CA9ABAE3A9}"/>
    <hyperlink ref="J13" r:id="rId11" xr:uid="{5FA0E637-4485-4623-8C45-07C808B583B1}"/>
    <hyperlink ref="J17" r:id="rId12" xr:uid="{051A613A-460C-422E-97D3-3600099DFE4C}"/>
    <hyperlink ref="J21" r:id="rId13" xr:uid="{0A58957E-BFC0-4EEC-A833-8D832FB080B3}"/>
    <hyperlink ref="J23" r:id="rId14" xr:uid="{0B0EB3E8-02FB-4E3D-BAF9-5BE3C8F04E05}"/>
    <hyperlink ref="J30" r:id="rId15" xr:uid="{4E17D208-9DA1-4B1D-ACB6-99B187D769DF}"/>
    <hyperlink ref="J14" r:id="rId16" xr:uid="{2B9BFE49-3112-4B36-B49E-27EDF07D78DB}"/>
    <hyperlink ref="J11" r:id="rId17" xr:uid="{F4E41A13-459D-47C1-962A-90B348F6C415}"/>
    <hyperlink ref="J15" r:id="rId18" xr:uid="{2A4FD2AC-933D-4782-AA50-6E723A812E57}"/>
    <hyperlink ref="J16" r:id="rId19" xr:uid="{979E3564-5BD0-42B5-B96E-A275A5806248}"/>
    <hyperlink ref="J6" r:id="rId20" xr:uid="{BE018FF7-81EA-482D-8A04-23E48AB09E91}"/>
    <hyperlink ref="J4" r:id="rId21" xr:uid="{EAF185D6-6648-4E33-B965-52F26D29A9F5}"/>
  </hyperlinks>
  <pageMargins left="0.7" right="0.7" top="0.78740157499999996" bottom="0.78740157499999996" header="0.3" footer="0.3"/>
  <pageSetup paperSize="9" orientation="portrait" horizontalDpi="0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Böhm, Thomas</dc:creator>
  <cp:lastModifiedBy>Böhm, Thomas</cp:lastModifiedBy>
  <dcterms:created xsi:type="dcterms:W3CDTF">2025-09-06T12:30:38Z</dcterms:created>
  <dcterms:modified xsi:type="dcterms:W3CDTF">2026-01-09T10:46:00Z</dcterms:modified>
</cp:coreProperties>
</file>